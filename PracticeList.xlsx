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ECCC11AF-4A53-3646-991A-CB30A33D4334}" xr6:coauthVersionLast="47" xr6:coauthVersionMax="47" xr10:uidLastSave="{00000000-0000-0000-0000-000000000000}"/>
  <bookViews>
    <workbookView xWindow="0" yWindow="76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55" i="1" l="1"/>
  <c r="A55" i="1"/>
  <c r="R55" i="1"/>
  <c r="N55" i="1"/>
  <c r="M55" i="1"/>
  <c r="D55" i="1"/>
  <c r="B55" i="1"/>
  <c r="H55" i="1"/>
  <c r="Q55" i="1"/>
  <c r="P55" i="1"/>
  <c r="O55" i="1"/>
  <c r="G55" i="1"/>
  <c r="E55" i="1"/>
  <c r="S55" i="1" l="1"/>
</calcChain>
</file>

<file path=xl/sharedStrings.xml><?xml version="1.0" encoding="utf-8"?>
<sst xmlns="http://schemas.openxmlformats.org/spreadsheetml/2006/main" count="602" uniqueCount="540">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</sst>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39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96F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4"/>
  <sheetViews>
    <sheetView tabSelected="1" topLeftCell="A2" zoomScale="108" zoomScaleNormal="109" workbookViewId="0">
      <selection activeCell="E20" sqref="E20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17">
        <v>42</v>
      </c>
      <c r="B2" s="217">
        <v>4</v>
      </c>
      <c r="C2" s="1" t="s">
        <v>55</v>
      </c>
      <c r="D2" s="217">
        <v>1</v>
      </c>
      <c r="E2" s="1">
        <v>1249</v>
      </c>
      <c r="F2" s="217">
        <v>253</v>
      </c>
      <c r="G2" s="217">
        <v>346</v>
      </c>
      <c r="H2" s="217">
        <v>3</v>
      </c>
      <c r="I2" s="217" t="s">
        <v>10</v>
      </c>
      <c r="J2" s="1" t="s">
        <v>83</v>
      </c>
      <c r="K2" s="1" t="s">
        <v>74</v>
      </c>
      <c r="L2" s="1" t="s">
        <v>73</v>
      </c>
      <c r="M2" s="1">
        <v>1216</v>
      </c>
      <c r="N2" s="217">
        <v>200</v>
      </c>
      <c r="O2" s="1">
        <v>273</v>
      </c>
      <c r="P2">
        <v>218</v>
      </c>
      <c r="Q2" s="217">
        <v>136</v>
      </c>
      <c r="R2" s="214">
        <v>238</v>
      </c>
      <c r="T2" t="s">
        <v>126</v>
      </c>
    </row>
    <row r="3" spans="1:20">
      <c r="A3" s="217">
        <v>125</v>
      </c>
      <c r="B3" s="1">
        <v>528</v>
      </c>
      <c r="C3" s="217" t="s">
        <v>56</v>
      </c>
      <c r="D3" s="1">
        <v>560</v>
      </c>
      <c r="E3" s="220">
        <v>20</v>
      </c>
      <c r="F3" s="217">
        <v>215</v>
      </c>
      <c r="G3" s="217"/>
      <c r="H3" s="1">
        <v>239</v>
      </c>
      <c r="I3" s="217" t="s">
        <v>14</v>
      </c>
      <c r="J3" s="214" t="s">
        <v>84</v>
      </c>
      <c r="K3" s="1" t="s">
        <v>75</v>
      </c>
      <c r="L3" s="1" t="s">
        <v>68</v>
      </c>
      <c r="M3" s="217">
        <v>121</v>
      </c>
      <c r="N3" s="214">
        <v>339</v>
      </c>
      <c r="O3" s="1">
        <v>50</v>
      </c>
      <c r="P3">
        <v>850</v>
      </c>
      <c r="Q3" s="217">
        <v>67</v>
      </c>
    </row>
    <row r="4" spans="1:20">
      <c r="A4" s="217">
        <v>680</v>
      </c>
      <c r="B4" s="1">
        <v>704</v>
      </c>
      <c r="C4" s="217" t="s">
        <v>57</v>
      </c>
      <c r="D4">
        <v>1650</v>
      </c>
      <c r="E4" s="1">
        <v>1762</v>
      </c>
      <c r="F4" s="1">
        <v>973</v>
      </c>
      <c r="G4" s="1">
        <v>1823</v>
      </c>
      <c r="H4" s="214">
        <v>1004</v>
      </c>
      <c r="I4" s="217" t="s">
        <v>15</v>
      </c>
      <c r="J4" s="1" t="s">
        <v>67</v>
      </c>
      <c r="K4" s="1" t="s">
        <v>77</v>
      </c>
      <c r="L4" s="1" t="s">
        <v>88</v>
      </c>
      <c r="M4" s="217">
        <v>53</v>
      </c>
      <c r="N4" s="1">
        <v>815</v>
      </c>
      <c r="O4" s="214">
        <v>79</v>
      </c>
      <c r="P4">
        <v>1851</v>
      </c>
      <c r="Q4" s="217">
        <v>29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17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17">
        <v>127</v>
      </c>
      <c r="O5" s="217">
        <v>22</v>
      </c>
      <c r="P5">
        <v>391</v>
      </c>
      <c r="Q5" s="217">
        <v>9</v>
      </c>
    </row>
    <row r="6" spans="1:20">
      <c r="A6" s="217">
        <v>15</v>
      </c>
      <c r="B6" s="217">
        <v>162</v>
      </c>
      <c r="C6" s="217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17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Q6" s="1">
        <v>1041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17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17">
        <v>48</v>
      </c>
    </row>
    <row r="8" spans="1:20">
      <c r="A8" s="1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17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</row>
    <row r="9" spans="1:20">
      <c r="A9" s="217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17" t="s">
        <v>17</v>
      </c>
      <c r="L9" s="212" t="s">
        <v>70</v>
      </c>
      <c r="M9" s="1">
        <v>926</v>
      </c>
      <c r="N9" s="1">
        <v>399</v>
      </c>
      <c r="O9" s="214">
        <v>78</v>
      </c>
      <c r="Q9" s="1">
        <v>415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17" t="s">
        <v>18</v>
      </c>
      <c r="L10" s="1" t="s">
        <v>71</v>
      </c>
      <c r="M10" s="1">
        <v>198</v>
      </c>
      <c r="N10" s="1">
        <v>529</v>
      </c>
      <c r="O10" s="212">
        <v>772</v>
      </c>
      <c r="Q10">
        <v>991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17" t="s">
        <v>52</v>
      </c>
      <c r="M11" s="1">
        <v>1326</v>
      </c>
      <c r="N11" s="214">
        <v>322</v>
      </c>
      <c r="O11" s="217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17">
        <v>209</v>
      </c>
      <c r="I12" s="1" t="s">
        <v>19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1" t="s">
        <v>53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17">
        <v>219</v>
      </c>
      <c r="I14" s="1" t="s">
        <v>20</v>
      </c>
      <c r="M14" s="1">
        <v>740</v>
      </c>
      <c r="N14">
        <v>994</v>
      </c>
      <c r="O14" s="217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17">
        <v>84</v>
      </c>
      <c r="F15" s="1">
        <v>2034</v>
      </c>
      <c r="H15">
        <v>1438</v>
      </c>
      <c r="I15" s="217" t="s">
        <v>11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17">
        <v>74</v>
      </c>
      <c r="D16" s="1">
        <v>1604</v>
      </c>
      <c r="E16" s="217">
        <v>150</v>
      </c>
      <c r="F16" s="1">
        <v>1353</v>
      </c>
      <c r="H16" s="217">
        <v>30</v>
      </c>
      <c r="I16" s="217" t="s">
        <v>12</v>
      </c>
      <c r="M16" s="217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14">
        <v>487</v>
      </c>
      <c r="I17" s="1" t="s">
        <v>93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17">
        <v>981</v>
      </c>
      <c r="D18" s="217">
        <v>217</v>
      </c>
      <c r="E18" s="1">
        <v>316</v>
      </c>
      <c r="F18" s="217">
        <v>252</v>
      </c>
      <c r="H18" s="214">
        <v>485</v>
      </c>
      <c r="I18" s="1" t="s">
        <v>21</v>
      </c>
      <c r="M18" s="1">
        <v>221</v>
      </c>
      <c r="N18" s="212">
        <v>909</v>
      </c>
      <c r="O18">
        <v>679</v>
      </c>
      <c r="Q18" s="217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I19" s="1" t="s">
        <v>22</v>
      </c>
      <c r="M19" s="217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20">
        <v>32</v>
      </c>
      <c r="F20" s="217">
        <v>2402</v>
      </c>
      <c r="I20" s="1" t="s">
        <v>150</v>
      </c>
      <c r="M20" s="217">
        <v>62</v>
      </c>
      <c r="N20" s="217">
        <v>133</v>
      </c>
      <c r="O20" s="214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17">
        <v>220</v>
      </c>
      <c r="I21" s="1" t="s">
        <v>23</v>
      </c>
      <c r="M21" s="217">
        <v>118</v>
      </c>
      <c r="N21" s="1">
        <v>419</v>
      </c>
      <c r="Q21">
        <v>204</v>
      </c>
    </row>
    <row r="22" spans="1:17">
      <c r="A22" s="1">
        <v>349</v>
      </c>
      <c r="B22" s="217">
        <v>300</v>
      </c>
      <c r="D22">
        <v>525</v>
      </c>
      <c r="E22" s="1">
        <v>907</v>
      </c>
      <c r="I22" s="1" t="s">
        <v>26</v>
      </c>
      <c r="M22" s="217">
        <v>152</v>
      </c>
      <c r="N22" s="217">
        <v>130</v>
      </c>
      <c r="Q22">
        <v>171</v>
      </c>
    </row>
    <row r="23" spans="1:17">
      <c r="A23" s="217">
        <v>18</v>
      </c>
      <c r="B23" s="217">
        <v>69</v>
      </c>
      <c r="D23" s="217">
        <v>301</v>
      </c>
      <c r="I23" s="1" t="s">
        <v>27</v>
      </c>
      <c r="M23" s="217">
        <v>122</v>
      </c>
      <c r="N23" s="1">
        <v>675</v>
      </c>
      <c r="Q23" s="217">
        <v>137</v>
      </c>
    </row>
    <row r="24" spans="1:17">
      <c r="A24" s="217">
        <v>202</v>
      </c>
      <c r="B24" s="1">
        <v>2008</v>
      </c>
      <c r="D24" s="217">
        <v>243</v>
      </c>
      <c r="I24" s="1" t="s">
        <v>28</v>
      </c>
      <c r="M24" s="1">
        <v>1937</v>
      </c>
      <c r="N24" s="214">
        <v>364</v>
      </c>
      <c r="Q24" s="214">
        <v>260</v>
      </c>
    </row>
    <row r="25" spans="1:17">
      <c r="A25" s="1">
        <v>283</v>
      </c>
      <c r="B25">
        <v>668</v>
      </c>
      <c r="D25" s="217">
        <v>421</v>
      </c>
      <c r="I25" s="1" t="s">
        <v>29</v>
      </c>
      <c r="M25" s="217">
        <v>72</v>
      </c>
      <c r="N25" s="217">
        <v>126</v>
      </c>
    </row>
    <row r="26" spans="1:17">
      <c r="A26" s="217">
        <v>151</v>
      </c>
      <c r="B26">
        <v>493</v>
      </c>
      <c r="D26" s="1">
        <v>953</v>
      </c>
      <c r="I26" s="1" t="s">
        <v>30</v>
      </c>
      <c r="M26" s="217">
        <v>91</v>
      </c>
    </row>
    <row r="27" spans="1:17">
      <c r="A27">
        <v>809</v>
      </c>
      <c r="B27" s="217">
        <v>240</v>
      </c>
      <c r="D27" s="1">
        <v>706</v>
      </c>
      <c r="I27" s="1" t="s">
        <v>54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31</v>
      </c>
      <c r="M28" s="1">
        <v>416</v>
      </c>
    </row>
    <row r="29" spans="1:17">
      <c r="A29" s="217">
        <v>556</v>
      </c>
      <c r="B29">
        <v>1428</v>
      </c>
      <c r="D29" s="217">
        <v>348</v>
      </c>
      <c r="I29" s="1" t="s">
        <v>32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33</v>
      </c>
      <c r="M30" s="212">
        <v>403</v>
      </c>
    </row>
    <row r="31" spans="1:17">
      <c r="A31" s="217">
        <v>167</v>
      </c>
      <c r="D31" s="1">
        <v>791</v>
      </c>
      <c r="I31" s="1" t="s">
        <v>34</v>
      </c>
      <c r="M31">
        <v>368</v>
      </c>
    </row>
    <row r="32" spans="1:17">
      <c r="D32" s="217">
        <v>438</v>
      </c>
      <c r="I32" s="1" t="s">
        <v>35</v>
      </c>
      <c r="M32">
        <v>413</v>
      </c>
    </row>
    <row r="33" spans="4:13">
      <c r="D33" s="217">
        <v>336</v>
      </c>
      <c r="I33" s="1" t="s">
        <v>36</v>
      </c>
      <c r="M33" s="217">
        <v>85</v>
      </c>
    </row>
    <row r="34" spans="4:13">
      <c r="D34" s="217">
        <v>36</v>
      </c>
      <c r="I34" s="1" t="s">
        <v>37</v>
      </c>
      <c r="M34">
        <v>818</v>
      </c>
    </row>
    <row r="35" spans="4:13">
      <c r="D35" s="217">
        <v>359</v>
      </c>
      <c r="I35" s="1" t="s">
        <v>24</v>
      </c>
      <c r="M35" s="217">
        <v>64</v>
      </c>
    </row>
    <row r="36" spans="4:13">
      <c r="D36" s="217">
        <v>432</v>
      </c>
      <c r="I36" s="1" t="s">
        <v>38</v>
      </c>
      <c r="M36">
        <v>2060</v>
      </c>
    </row>
    <row r="37" spans="4:13">
      <c r="D37">
        <v>1487</v>
      </c>
      <c r="I37" s="1" t="s">
        <v>39</v>
      </c>
      <c r="M37">
        <v>730</v>
      </c>
    </row>
    <row r="38" spans="4:13">
      <c r="I38" s="1" t="s">
        <v>25</v>
      </c>
      <c r="M38" s="1">
        <v>576</v>
      </c>
    </row>
    <row r="39" spans="4:13">
      <c r="I39" s="1" t="s">
        <v>40</v>
      </c>
      <c r="M39" s="1">
        <v>718</v>
      </c>
    </row>
    <row r="40" spans="4:13">
      <c r="I40" s="1" t="s">
        <v>41</v>
      </c>
      <c r="M40" s="217">
        <v>123</v>
      </c>
    </row>
    <row r="41" spans="4:13">
      <c r="I41" s="1" t="s">
        <v>42</v>
      </c>
      <c r="M41" s="217">
        <v>188</v>
      </c>
    </row>
    <row r="42" spans="4:13">
      <c r="I42" s="1" t="s">
        <v>96</v>
      </c>
      <c r="M42" s="214">
        <v>309</v>
      </c>
    </row>
    <row r="43" spans="4:13">
      <c r="I43" s="217" t="s">
        <v>43</v>
      </c>
      <c r="M43" s="214">
        <v>714</v>
      </c>
    </row>
    <row r="44" spans="4:13">
      <c r="I44" s="217" t="s">
        <v>92</v>
      </c>
      <c r="M44" s="214">
        <v>1531</v>
      </c>
    </row>
    <row r="45" spans="4:13">
      <c r="I45" t="s">
        <v>91</v>
      </c>
    </row>
    <row r="46" spans="4:13">
      <c r="I46" t="s">
        <v>87</v>
      </c>
    </row>
    <row r="47" spans="4:13">
      <c r="I47" t="s">
        <v>44</v>
      </c>
    </row>
    <row r="48" spans="4:13">
      <c r="I48" t="s">
        <v>45</v>
      </c>
    </row>
    <row r="49" spans="1:19">
      <c r="I49" t="s">
        <v>46</v>
      </c>
    </row>
    <row r="50" spans="1:19">
      <c r="I50" t="s">
        <v>47</v>
      </c>
    </row>
    <row r="51" spans="1:19">
      <c r="I51" t="s">
        <v>48</v>
      </c>
    </row>
    <row r="52" spans="1:19">
      <c r="I52" t="s">
        <v>49</v>
      </c>
    </row>
    <row r="53" spans="1:19">
      <c r="I53" t="s">
        <v>50</v>
      </c>
    </row>
    <row r="54" spans="1:19">
      <c r="I54" t="s">
        <v>94</v>
      </c>
    </row>
    <row r="55" spans="1:19">
      <c r="A55">
        <f>COUNT(A2:A31)</f>
        <v>30</v>
      </c>
      <c r="B55">
        <f>COUNT(B2:B54)</f>
        <v>29</v>
      </c>
      <c r="C55">
        <v>13</v>
      </c>
      <c r="D55">
        <f>COUNT(D2:D37)</f>
        <v>36</v>
      </c>
      <c r="E55">
        <f>COUNT(E2:E22)</f>
        <v>21</v>
      </c>
      <c r="F55">
        <f>COUNT(F2:F21)</f>
        <v>20</v>
      </c>
      <c r="G55">
        <f>COUNT(G2:G7)</f>
        <v>5</v>
      </c>
      <c r="H55">
        <f>COUNT(H2:H18)</f>
        <v>17</v>
      </c>
      <c r="I55">
        <v>52</v>
      </c>
      <c r="J55">
        <v>6</v>
      </c>
      <c r="K55">
        <v>5</v>
      </c>
      <c r="L55">
        <v>9</v>
      </c>
      <c r="M55">
        <f>COUNT(M2:M44)</f>
        <v>43</v>
      </c>
      <c r="N55">
        <f>COUNT(N2:N25)</f>
        <v>24</v>
      </c>
      <c r="O55">
        <f>COUNT(O2:O19)</f>
        <v>18</v>
      </c>
      <c r="P55">
        <f>COUNT(P2:P5)</f>
        <v>4</v>
      </c>
      <c r="Q55">
        <f>COUNT(Q2:Q24)</f>
        <v>23</v>
      </c>
      <c r="R55">
        <f>COUNT(R2:R6)</f>
        <v>1</v>
      </c>
      <c r="S55">
        <f>SUM(A55:R55)</f>
        <v>356</v>
      </c>
    </row>
    <row r="57" spans="1:19">
      <c r="A57" t="s">
        <v>233</v>
      </c>
    </row>
    <row r="58" spans="1:19">
      <c r="A58" t="s">
        <v>231</v>
      </c>
    </row>
    <row r="59" spans="1:19">
      <c r="A59" t="s">
        <v>232</v>
      </c>
    </row>
    <row r="60" spans="1:19">
      <c r="A60" t="s">
        <v>230</v>
      </c>
    </row>
    <row r="61" spans="1:19">
      <c r="A61" t="s">
        <v>428</v>
      </c>
    </row>
    <row r="62" spans="1:19">
      <c r="A62" t="s">
        <v>487</v>
      </c>
    </row>
    <row r="63" spans="1:19">
      <c r="A63" t="s">
        <v>488</v>
      </c>
    </row>
    <row r="64" spans="1:19">
      <c r="A64" t="s">
        <v>492</v>
      </c>
    </row>
  </sheetData>
  <sortState xmlns:xlrd2="http://schemas.microsoft.com/office/spreadsheetml/2017/richdata2" ref="I6:I38">
    <sortCondition ref="I6:I38"/>
  </sortState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1" t="s">
        <v>103</v>
      </c>
      <c r="D1" s="222"/>
      <c r="E1" s="222"/>
      <c r="F1" s="222"/>
      <c r="G1" s="223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4" t="s">
        <v>103</v>
      </c>
      <c r="D1" s="224"/>
      <c r="E1" s="224"/>
      <c r="F1" s="224"/>
      <c r="G1" s="225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6" t="s">
        <v>103</v>
      </c>
      <c r="D1" s="226"/>
      <c r="E1" s="226"/>
      <c r="F1" s="226"/>
      <c r="G1" s="226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7" t="s">
        <v>211</v>
      </c>
      <c r="B15" s="228"/>
      <c r="C15" s="228"/>
      <c r="D15" s="228"/>
      <c r="E15" s="228"/>
      <c r="F15" s="228"/>
      <c r="G15" s="228"/>
      <c r="H15" s="228"/>
      <c r="I15" s="228"/>
      <c r="J15" s="228"/>
      <c r="K15" s="228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29" t="s">
        <v>103</v>
      </c>
      <c r="D1" s="226"/>
      <c r="E1" s="226"/>
      <c r="F1" s="226"/>
      <c r="G1" s="226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1" t="s">
        <v>103</v>
      </c>
      <c r="D1" s="222"/>
      <c r="E1" s="230"/>
      <c r="F1" s="222"/>
      <c r="G1" s="222"/>
      <c r="H1" s="223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1" t="s">
        <v>103</v>
      </c>
      <c r="D1" s="232"/>
      <c r="E1" s="232"/>
      <c r="F1" s="232"/>
      <c r="G1" s="232"/>
      <c r="H1" s="232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5" t="s">
        <v>103</v>
      </c>
      <c r="D1" s="235"/>
      <c r="E1" s="235"/>
      <c r="F1" s="235"/>
      <c r="G1" s="235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2" t="s">
        <v>103</v>
      </c>
      <c r="D1" s="222"/>
      <c r="E1" s="222"/>
      <c r="F1" s="222"/>
      <c r="G1" s="223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6" t="s">
        <v>103</v>
      </c>
      <c r="D1" s="224"/>
      <c r="E1" s="224"/>
      <c r="F1" s="224"/>
      <c r="G1" s="224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1" t="s">
        <v>103</v>
      </c>
      <c r="D1" s="222"/>
      <c r="E1" s="222"/>
      <c r="F1" s="222"/>
      <c r="G1" s="222"/>
      <c r="H1" s="222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7" t="s">
        <v>103</v>
      </c>
      <c r="D1" s="224"/>
      <c r="E1" s="224"/>
      <c r="F1" s="224"/>
      <c r="G1" s="225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4" t="s">
        <v>103</v>
      </c>
      <c r="D1" s="238"/>
      <c r="E1" s="224"/>
      <c r="F1" s="224"/>
      <c r="G1" s="224"/>
      <c r="H1" s="225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2025-12-14T02:38:13Z</dcterms:modified>
</cp:coreProperties>
</file>