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DC031393-0A97-AE4F-A070-7357CB6463B3}" xr6:coauthVersionLast="47" xr6:coauthVersionMax="47" xr10:uidLastSave="{00000000-0000-0000-0000-000000000000}"/>
  <bookViews>
    <workbookView xWindow="0" yWindow="138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57" i="1" l="1"/>
  <c r="P57" i="1"/>
  <c r="P59" i="1" s="1"/>
  <c r="O57" i="1"/>
  <c r="O59" i="1" s="1"/>
  <c r="M57" i="1"/>
  <c r="M59" i="1" s="1"/>
  <c r="H57" i="1"/>
  <c r="H59" i="1" s="1"/>
  <c r="K59" i="1"/>
  <c r="L59" i="1"/>
  <c r="J59" i="1"/>
  <c r="C59" i="1"/>
  <c r="R57" i="1"/>
  <c r="R59" i="1" s="1"/>
  <c r="S58" i="1" s="1"/>
  <c r="I57" i="1"/>
  <c r="I59" i="1" s="1"/>
  <c r="A57" i="1"/>
  <c r="A59" i="1" s="1"/>
  <c r="F57" i="1"/>
  <c r="F59" i="1" s="1"/>
  <c r="N57" i="1"/>
  <c r="N59" i="1" s="1"/>
  <c r="D57" i="1"/>
  <c r="D59" i="1" s="1"/>
  <c r="B57" i="1"/>
  <c r="B59" i="1" s="1"/>
  <c r="Q59" i="1"/>
  <c r="G57" i="1"/>
  <c r="G59" i="1" s="1"/>
  <c r="E57" i="1"/>
  <c r="E59" i="1" s="1"/>
  <c r="S57" i="1" l="1"/>
  <c r="S59" i="1" s="1"/>
</calcChain>
</file>

<file path=xl/sharedStrings.xml><?xml version="1.0" encoding="utf-8"?>
<sst xmlns="http://schemas.openxmlformats.org/spreadsheetml/2006/main" count="604" uniqueCount="542">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</sst>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1BBEE"/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8"/>
  <sheetViews>
    <sheetView tabSelected="1" topLeftCell="K31" zoomScale="108" zoomScaleNormal="109" workbookViewId="0">
      <selection activeCell="T64" sqref="T64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20">
        <v>346</v>
      </c>
      <c r="H2" s="217">
        <v>3</v>
      </c>
      <c r="I2" s="220" t="s">
        <v>10</v>
      </c>
      <c r="J2" s="221" t="s">
        <v>83</v>
      </c>
      <c r="K2" s="1" t="s">
        <v>74</v>
      </c>
      <c r="L2" s="220" t="s">
        <v>73</v>
      </c>
      <c r="M2" s="1">
        <v>1216</v>
      </c>
      <c r="N2" s="220">
        <v>200</v>
      </c>
      <c r="O2" s="1">
        <v>273</v>
      </c>
      <c r="P2">
        <v>218</v>
      </c>
      <c r="Q2" s="220">
        <v>136</v>
      </c>
      <c r="R2" s="221">
        <v>238</v>
      </c>
      <c r="T2" t="s">
        <v>126</v>
      </c>
    </row>
    <row r="3" spans="1:20">
      <c r="A3" s="217">
        <v>125</v>
      </c>
      <c r="B3" s="1">
        <v>528</v>
      </c>
      <c r="C3" s="220" t="s">
        <v>56</v>
      </c>
      <c r="D3" s="1">
        <v>560</v>
      </c>
      <c r="E3" s="220">
        <v>20</v>
      </c>
      <c r="F3" s="217">
        <v>215</v>
      </c>
      <c r="G3" s="221">
        <v>353</v>
      </c>
      <c r="H3" s="1">
        <v>239</v>
      </c>
      <c r="I3" s="220" t="s">
        <v>14</v>
      </c>
      <c r="J3" s="221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221">
        <v>50</v>
      </c>
      <c r="P3" s="221">
        <v>850</v>
      </c>
      <c r="Q3" s="217">
        <v>67</v>
      </c>
      <c r="R3">
        <v>3333</v>
      </c>
    </row>
    <row r="4" spans="1:20">
      <c r="A4" s="217">
        <v>680</v>
      </c>
      <c r="B4" s="1">
        <v>704</v>
      </c>
      <c r="C4" s="220" t="s">
        <v>57</v>
      </c>
      <c r="D4">
        <v>1650</v>
      </c>
      <c r="E4" s="1">
        <v>1762</v>
      </c>
      <c r="F4" s="1">
        <v>973</v>
      </c>
      <c r="G4" s="1">
        <v>1823</v>
      </c>
      <c r="H4" s="221">
        <v>1004</v>
      </c>
      <c r="I4" s="220" t="s">
        <v>15</v>
      </c>
      <c r="J4" s="1" t="s">
        <v>67</v>
      </c>
      <c r="K4" s="220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  <c r="R4">
        <v>3480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20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  <c r="R5">
        <v>3494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20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P6" s="221">
        <v>2021</v>
      </c>
      <c r="Q6" s="1">
        <v>1041</v>
      </c>
      <c r="R6">
        <v>3346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20">
        <v>48</v>
      </c>
      <c r="R7">
        <v>3147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  <c r="R8">
        <v>3354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21">
        <v>78</v>
      </c>
      <c r="Q9" s="1">
        <v>415</v>
      </c>
      <c r="R9" s="221">
        <v>2438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221" t="s">
        <v>71</v>
      </c>
      <c r="M10" s="221">
        <v>198</v>
      </c>
      <c r="N10" s="1">
        <v>529</v>
      </c>
      <c r="O10" s="212">
        <v>772</v>
      </c>
      <c r="Q10">
        <v>991</v>
      </c>
      <c r="R10">
        <v>3347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20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20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20" t="s">
        <v>62</v>
      </c>
      <c r="D13" s="217">
        <v>244</v>
      </c>
      <c r="E13" s="221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221" t="s">
        <v>19</v>
      </c>
      <c r="M14" s="1">
        <v>740</v>
      </c>
      <c r="N14" s="220">
        <v>994</v>
      </c>
      <c r="O14" s="221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22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20">
        <v>74</v>
      </c>
      <c r="D16" s="1">
        <v>1604</v>
      </c>
      <c r="E16" s="220">
        <v>150</v>
      </c>
      <c r="F16" s="1">
        <v>1353</v>
      </c>
      <c r="H16" s="217">
        <v>30</v>
      </c>
      <c r="I16" s="1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21">
        <v>378</v>
      </c>
      <c r="H17" s="220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21">
        <v>981</v>
      </c>
      <c r="D18" s="220">
        <v>217</v>
      </c>
      <c r="E18" s="1">
        <v>316</v>
      </c>
      <c r="F18" s="220">
        <v>252</v>
      </c>
      <c r="H18" s="220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H19" s="221">
        <v>1838</v>
      </c>
      <c r="I19" s="1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20">
        <v>249</v>
      </c>
      <c r="E20" s="220">
        <v>32</v>
      </c>
      <c r="F20" s="221">
        <v>2402</v>
      </c>
      <c r="I20" s="1" t="s">
        <v>21</v>
      </c>
      <c r="M20" s="220">
        <v>62</v>
      </c>
      <c r="N20" s="220">
        <v>133</v>
      </c>
      <c r="O20" s="221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20">
        <v>118</v>
      </c>
      <c r="N21" s="1">
        <v>419</v>
      </c>
      <c r="O21" s="221">
        <v>40</v>
      </c>
      <c r="Q21">
        <v>204</v>
      </c>
    </row>
    <row r="22" spans="1:17">
      <c r="A22" s="1">
        <v>349</v>
      </c>
      <c r="B22" s="221">
        <v>300</v>
      </c>
      <c r="D22">
        <v>525</v>
      </c>
      <c r="E22" s="1">
        <v>907</v>
      </c>
      <c r="I22" s="1" t="s">
        <v>150</v>
      </c>
      <c r="M22" s="217">
        <v>152</v>
      </c>
      <c r="N22" s="220">
        <v>130</v>
      </c>
      <c r="O22" s="220">
        <v>216</v>
      </c>
      <c r="Q22" s="221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23</v>
      </c>
      <c r="M23" s="217">
        <v>122</v>
      </c>
      <c r="N23" s="1">
        <v>675</v>
      </c>
      <c r="Q23" s="221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14">
        <v>364</v>
      </c>
      <c r="Q24" s="221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  <c r="Q25" s="221">
        <v>273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20">
        <v>240</v>
      </c>
      <c r="D27" s="1">
        <v>706</v>
      </c>
      <c r="I27" s="1" t="s">
        <v>29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17">
        <v>438</v>
      </c>
      <c r="I32" s="1" t="s">
        <v>33</v>
      </c>
      <c r="M32">
        <v>413</v>
      </c>
    </row>
    <row r="33" spans="4:13">
      <c r="D33" s="217">
        <v>336</v>
      </c>
      <c r="I33" s="1" t="s">
        <v>34</v>
      </c>
      <c r="M33" s="220">
        <v>85</v>
      </c>
    </row>
    <row r="34" spans="4:13">
      <c r="D34" s="220">
        <v>36</v>
      </c>
      <c r="I34" s="1" t="s">
        <v>35</v>
      </c>
      <c r="M34">
        <v>818</v>
      </c>
    </row>
    <row r="35" spans="4:13">
      <c r="D35" s="220">
        <v>359</v>
      </c>
      <c r="I35" s="1" t="s">
        <v>36</v>
      </c>
      <c r="M35" s="220">
        <v>64</v>
      </c>
    </row>
    <row r="36" spans="4:13">
      <c r="D36" s="221">
        <v>432</v>
      </c>
      <c r="I36" s="1" t="s">
        <v>37</v>
      </c>
      <c r="M36">
        <v>2060</v>
      </c>
    </row>
    <row r="37" spans="4:13">
      <c r="D37">
        <v>1487</v>
      </c>
      <c r="I37" s="1" t="s">
        <v>24</v>
      </c>
      <c r="M37">
        <v>730</v>
      </c>
    </row>
    <row r="38" spans="4:13">
      <c r="I38" s="1" t="s">
        <v>38</v>
      </c>
      <c r="M38" s="1">
        <v>576</v>
      </c>
    </row>
    <row r="39" spans="4:13">
      <c r="I39" s="1" t="s">
        <v>39</v>
      </c>
      <c r="M39" s="1">
        <v>718</v>
      </c>
    </row>
    <row r="40" spans="4:13">
      <c r="I40" s="1" t="s">
        <v>25</v>
      </c>
      <c r="M40" s="217">
        <v>123</v>
      </c>
    </row>
    <row r="41" spans="4:13">
      <c r="I41" s="1" t="s">
        <v>40</v>
      </c>
      <c r="M41" s="217">
        <v>188</v>
      </c>
    </row>
    <row r="42" spans="4:13">
      <c r="I42" s="1" t="s">
        <v>41</v>
      </c>
      <c r="M42" s="214">
        <v>309</v>
      </c>
    </row>
    <row r="43" spans="4:13">
      <c r="I43" s="1" t="s">
        <v>42</v>
      </c>
      <c r="M43" s="214">
        <v>714</v>
      </c>
    </row>
    <row r="44" spans="4:13">
      <c r="I44" s="1" t="s">
        <v>96</v>
      </c>
      <c r="M44" s="214">
        <v>1531</v>
      </c>
    </row>
    <row r="45" spans="4:13">
      <c r="I45" s="217" t="s">
        <v>43</v>
      </c>
      <c r="M45" s="221">
        <v>377</v>
      </c>
    </row>
    <row r="46" spans="4:13">
      <c r="I46" s="217" t="s">
        <v>92</v>
      </c>
    </row>
    <row r="47" spans="4:13">
      <c r="I47" t="s">
        <v>91</v>
      </c>
    </row>
    <row r="48" spans="4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COUNT(A2:A32)</f>
        <v>31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6</v>
      </c>
      <c r="H57">
        <f>COUNT(H2:H19)</f>
        <v>18</v>
      </c>
      <c r="I57">
        <f>COUNTA(I2:I56)</f>
        <v>55</v>
      </c>
      <c r="J57">
        <v>6</v>
      </c>
      <c r="K57">
        <v>5</v>
      </c>
      <c r="L57">
        <v>9</v>
      </c>
      <c r="M57">
        <f>COUNT(M2:M45)</f>
        <v>44</v>
      </c>
      <c r="N57">
        <f>COUNT(N2:N25)</f>
        <v>24</v>
      </c>
      <c r="O57">
        <f>COUNT(O2:O22)</f>
        <v>21</v>
      </c>
      <c r="P57">
        <f>COUNT(P2:P6)</f>
        <v>5</v>
      </c>
      <c r="Q57">
        <f>COUNT(Q2:Q25)</f>
        <v>24</v>
      </c>
      <c r="R57">
        <f>COUNT(R2:R10)</f>
        <v>9</v>
      </c>
      <c r="S57">
        <f>SUM(A57:R57)</f>
        <v>376</v>
      </c>
    </row>
    <row r="58" spans="1:19">
      <c r="A58">
        <v>8</v>
      </c>
      <c r="B58">
        <v>9</v>
      </c>
      <c r="C58">
        <v>4</v>
      </c>
      <c r="D58">
        <v>10</v>
      </c>
      <c r="E58">
        <v>6</v>
      </c>
      <c r="F58">
        <v>5</v>
      </c>
      <c r="G58">
        <v>2</v>
      </c>
      <c r="H58">
        <v>6</v>
      </c>
      <c r="I58">
        <v>16</v>
      </c>
      <c r="J58">
        <v>2</v>
      </c>
      <c r="K58">
        <v>1</v>
      </c>
      <c r="L58">
        <v>2</v>
      </c>
      <c r="M58">
        <v>11</v>
      </c>
      <c r="N58">
        <v>6</v>
      </c>
      <c r="O58">
        <v>7</v>
      </c>
      <c r="P58">
        <v>2</v>
      </c>
      <c r="Q58">
        <v>7</v>
      </c>
      <c r="R58">
        <v>2</v>
      </c>
      <c r="S58">
        <f>SUM(A58:R58)</f>
        <v>106</v>
      </c>
    </row>
    <row r="59" spans="1:19">
      <c r="A59">
        <f>A58/A57</f>
        <v>0.25806451612903225</v>
      </c>
      <c r="B59">
        <f>B58/B57</f>
        <v>0.31034482758620691</v>
      </c>
      <c r="C59">
        <f t="shared" ref="C59:G59" si="0">C58/C57</f>
        <v>0.30769230769230771</v>
      </c>
      <c r="D59">
        <f t="shared" si="0"/>
        <v>0.27777777777777779</v>
      </c>
      <c r="E59">
        <f t="shared" si="0"/>
        <v>0.2857142857142857</v>
      </c>
      <c r="F59">
        <f t="shared" si="0"/>
        <v>0.25</v>
      </c>
      <c r="G59">
        <f t="shared" si="0"/>
        <v>0.33333333333333331</v>
      </c>
      <c r="H59">
        <f>H58/H57</f>
        <v>0.33333333333333331</v>
      </c>
      <c r="I59">
        <f t="shared" ref="I59" si="1">I58/I57</f>
        <v>0.29090909090909089</v>
      </c>
      <c r="J59">
        <f t="shared" ref="J59" si="2">J58/J57</f>
        <v>0.33333333333333331</v>
      </c>
      <c r="K59">
        <f>K58/K57</f>
        <v>0.2</v>
      </c>
      <c r="L59">
        <f t="shared" ref="L59" si="3">L58/L57</f>
        <v>0.22222222222222221</v>
      </c>
      <c r="M59">
        <f t="shared" ref="M59" si="4">M58/M57</f>
        <v>0.25</v>
      </c>
      <c r="N59">
        <f t="shared" ref="N59" si="5">N58/N57</f>
        <v>0.25</v>
      </c>
      <c r="O59">
        <f t="shared" ref="O59" si="6">O58/O57</f>
        <v>0.33333333333333331</v>
      </c>
      <c r="P59">
        <f t="shared" ref="P59" si="7">P58/P57</f>
        <v>0.4</v>
      </c>
      <c r="Q59">
        <f>Q58/Q57</f>
        <v>0.29166666666666669</v>
      </c>
      <c r="R59">
        <f t="shared" ref="R59" si="8">R58/R57</f>
        <v>0.22222222222222221</v>
      </c>
      <c r="S59">
        <f t="shared" ref="S59" si="9">S58/S57</f>
        <v>0.28191489361702127</v>
      </c>
    </row>
    <row r="61" spans="1:19">
      <c r="A61" t="s">
        <v>233</v>
      </c>
    </row>
    <row r="62" spans="1:19">
      <c r="A62" t="s">
        <v>231</v>
      </c>
    </row>
    <row r="63" spans="1:19">
      <c r="A63" t="s">
        <v>232</v>
      </c>
    </row>
    <row r="64" spans="1:19">
      <c r="A64" t="s">
        <v>230</v>
      </c>
    </row>
    <row r="65" spans="1:1">
      <c r="A65" t="s">
        <v>428</v>
      </c>
    </row>
    <row r="66" spans="1:1">
      <c r="A66" t="s">
        <v>487</v>
      </c>
    </row>
    <row r="67" spans="1:1">
      <c r="A67" t="s">
        <v>488</v>
      </c>
    </row>
    <row r="68" spans="1:1">
      <c r="A68" t="s">
        <v>492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2026-01-21T07:14:03Z</dcterms:modified>
</cp:coreProperties>
</file>